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iginio.rubio\Documents\DOCUMENTOS\00_OTROS\05_MUSE\01_CLASES-PROFE\04_CLASES_25-26\Trabajo\Presupuesto de Masas\"/>
    </mc:Choice>
  </mc:AlternateContent>
  <xr:revisionPtr revIDLastSave="0" documentId="13_ncr:1_{A53CC5B0-ED71-400E-9021-9EE3F4D08AB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ss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E11" i="1"/>
  <c r="C10" i="1"/>
  <c r="C9" i="1"/>
  <c r="C8" i="1"/>
  <c r="C7" i="1"/>
  <c r="E10" i="1"/>
  <c r="E86" i="1"/>
  <c r="C86" i="1"/>
  <c r="C81" i="1"/>
  <c r="C76" i="1"/>
  <c r="C66" i="1"/>
  <c r="C50" i="1"/>
  <c r="C36" i="1"/>
  <c r="C24" i="1"/>
  <c r="E19" i="1"/>
  <c r="E20" i="1"/>
  <c r="E21" i="1"/>
  <c r="E22" i="1"/>
  <c r="E87" i="1"/>
  <c r="E85" i="1"/>
  <c r="E84" i="1"/>
  <c r="E83" i="1"/>
  <c r="E82" i="1"/>
  <c r="E80" i="1"/>
  <c r="E79" i="1"/>
  <c r="E78" i="1"/>
  <c r="E77" i="1"/>
  <c r="E81" i="1" s="1"/>
  <c r="E75" i="1"/>
  <c r="E74" i="1"/>
  <c r="E73" i="1"/>
  <c r="E72" i="1"/>
  <c r="E76" i="1" s="1"/>
  <c r="E65" i="1"/>
  <c r="E64" i="1"/>
  <c r="E63" i="1"/>
  <c r="E62" i="1"/>
  <c r="E61" i="1"/>
  <c r="E60" i="1"/>
  <c r="E59" i="1"/>
  <c r="E58" i="1"/>
  <c r="E57" i="1"/>
  <c r="E67" i="1"/>
  <c r="E56" i="1"/>
  <c r="E49" i="1"/>
  <c r="E48" i="1"/>
  <c r="E47" i="1"/>
  <c r="E46" i="1"/>
  <c r="E45" i="1"/>
  <c r="E44" i="1"/>
  <c r="E43" i="1"/>
  <c r="E51" i="1"/>
  <c r="E42" i="1"/>
  <c r="E50" i="1" s="1"/>
  <c r="E9" i="1" s="1"/>
  <c r="E35" i="1"/>
  <c r="E34" i="1"/>
  <c r="E33" i="1"/>
  <c r="E32" i="1"/>
  <c r="E31" i="1"/>
  <c r="E37" i="1"/>
  <c r="E30" i="1"/>
  <c r="E36" i="1" s="1"/>
  <c r="E8" i="1" s="1"/>
  <c r="E23" i="1"/>
  <c r="E18" i="1"/>
  <c r="E25" i="1"/>
  <c r="E17" i="1"/>
  <c r="C12" i="1" l="1"/>
  <c r="E66" i="1"/>
  <c r="E24" i="1"/>
  <c r="E7" i="1" s="1"/>
  <c r="E12" i="1" l="1"/>
</calcChain>
</file>

<file path=xl/sharedStrings.xml><?xml version="1.0" encoding="utf-8"?>
<sst xmlns="http://schemas.openxmlformats.org/spreadsheetml/2006/main" count="111" uniqueCount="73">
  <si>
    <t>Description</t>
  </si>
  <si>
    <t>Basic mass 
[g]</t>
  </si>
  <si>
    <t>Maturity margin
[%]</t>
  </si>
  <si>
    <t>Nominal mass 
[g]</t>
  </si>
  <si>
    <t>Material</t>
  </si>
  <si>
    <t>H-PSU module</t>
  </si>
  <si>
    <t>MOD module</t>
  </si>
  <si>
    <t>FPGA module</t>
  </si>
  <si>
    <t>PROC module</t>
  </si>
  <si>
    <t>Backplane modules</t>
  </si>
  <si>
    <t>Total mass</t>
  </si>
  <si>
    <t>H-PSU Box</t>
  </si>
  <si>
    <t>Alu 7075 T7351</t>
  </si>
  <si>
    <t>H-PSU PCB</t>
  </si>
  <si>
    <t>Assembly</t>
  </si>
  <si>
    <t>NA</t>
  </si>
  <si>
    <t>EMC gasket</t>
  </si>
  <si>
    <t>H-PSU connector H41 - 9P - SUBD</t>
  </si>
  <si>
    <t>H-PSU connector H42 - 9P - SUBD</t>
  </si>
  <si>
    <t>H-PSU connector H43 - 9P - MicroD</t>
  </si>
  <si>
    <t>H-PSU connector H44 - 9P - MicroD</t>
  </si>
  <si>
    <t>H-PSU hardware</t>
  </si>
  <si>
    <t>MOD Box</t>
  </si>
  <si>
    <t>MOD PCB</t>
  </si>
  <si>
    <t>MOD connector H31 - 25P - MicroD</t>
  </si>
  <si>
    <t>MOD connector H32 - 9S - MicroD</t>
  </si>
  <si>
    <t>MOD connector H33 - 51P -MicroD</t>
  </si>
  <si>
    <t>MOD hardware</t>
  </si>
  <si>
    <t>N/A</t>
  </si>
  <si>
    <t>FPGA Box</t>
  </si>
  <si>
    <t>FPGA PCB</t>
  </si>
  <si>
    <t>FPGA connector H21 - 21P - MicroD</t>
  </si>
  <si>
    <t>FPGA connector H22 - 37P - MicroD</t>
  </si>
  <si>
    <t>FPGA connector H23 - 9S -MicroD</t>
  </si>
  <si>
    <t>FPGA connector H24 - 51S-MicroD</t>
  </si>
  <si>
    <t>FPGA connector H25 - 31P - MicroD</t>
  </si>
  <si>
    <t>FPGA hardware</t>
  </si>
  <si>
    <t>PROC Box</t>
  </si>
  <si>
    <t>PROC PCB</t>
  </si>
  <si>
    <t>PROC Cover</t>
  </si>
  <si>
    <t>PROC connector H11 - 9S - MicroD</t>
  </si>
  <si>
    <t>PROC connector H12 - 9S - MicroD</t>
  </si>
  <si>
    <t>PROC connector H13 - 15S - MicroD</t>
  </si>
  <si>
    <t>PROC connector H14 - 37P - MicroD</t>
  </si>
  <si>
    <t>PROC connector H15 - 31S - MicroD</t>
  </si>
  <si>
    <t>PROC connector H16  - 21S - MicroD</t>
  </si>
  <si>
    <t>PROC hardware</t>
  </si>
  <si>
    <t>FPGA - MOD backplane lid</t>
  </si>
  <si>
    <t>FPGA - MOD backplane PCB</t>
  </si>
  <si>
    <t>FPGA - MOD backplane connectors</t>
  </si>
  <si>
    <t>FPGA - MOD backplane EMC gasket</t>
  </si>
  <si>
    <t>PROC - FPGA backplane lid</t>
  </si>
  <si>
    <t>PROC - FPGA backplane PCB</t>
  </si>
  <si>
    <t>PROC - FPGA backplane connectors</t>
  </si>
  <si>
    <t>PROC - FPGA backplane EMC gasket</t>
  </si>
  <si>
    <t>POWER backplane lid</t>
  </si>
  <si>
    <t>POWER backplane PCB</t>
  </si>
  <si>
    <t>POWER backplane connectors</t>
  </si>
  <si>
    <t>POWER backplane EMC gasket</t>
  </si>
  <si>
    <t>backplanes hardware</t>
  </si>
  <si>
    <t>Resumen</t>
  </si>
  <si>
    <t>Módulo PSU</t>
  </si>
  <si>
    <t>Módulo MOD</t>
  </si>
  <si>
    <t>Módulo FPGA</t>
  </si>
  <si>
    <t>Módulo PROC</t>
  </si>
  <si>
    <t>Backplanes</t>
  </si>
  <si>
    <t>Total PSU Box</t>
  </si>
  <si>
    <t>Total MOD Box</t>
  </si>
  <si>
    <t>Total FPGA Box</t>
  </si>
  <si>
    <t>Total PROC Box</t>
  </si>
  <si>
    <t>Total FPGA - MOD backplane</t>
  </si>
  <si>
    <t>Total PROC - FPGA backplane</t>
  </si>
  <si>
    <t>Total POWER backplane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</si>
</sst>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vertical="center"/>
    </xf>
    <xf numFmtId="1" fontId="0" fillId="4" borderId="4" xfId="0" applyNumberForma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1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" fontId="1" fillId="7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5" fillId="7" borderId="4" xfId="0" applyNumberFormat="1" applyFont="1" applyFill="1" applyBorder="1" applyAlignment="1">
      <alignment horizontal="center" vertical="center"/>
    </xf>
    <xf numFmtId="1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4" fillId="5" borderId="4" xfId="0" applyFont="1" applyFill="1" applyBorder="1" applyAlignment="1">
      <alignment vertical="center"/>
    </xf>
    <xf numFmtId="1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6" fillId="8" borderId="4" xfId="0" applyFont="1" applyFill="1" applyBorder="1" applyAlignment="1">
      <alignment vertical="center"/>
    </xf>
    <xf numFmtId="1" fontId="6" fillId="8" borderId="4" xfId="0" applyNumberFormat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" fontId="0" fillId="6" borderId="6" xfId="0" applyNumberFormat="1" applyFill="1" applyBorder="1" applyAlignment="1">
      <alignment horizontal="center" vertical="center" wrapText="1"/>
    </xf>
    <xf numFmtId="1" fontId="0" fillId="6" borderId="5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7"/>
  <sheetViews>
    <sheetView tabSelected="1" workbookViewId="0">
      <selection activeCell="J13" sqref="J13"/>
    </sheetView>
  </sheetViews>
  <sheetFormatPr baseColWidth="10" defaultColWidth="9.140625" defaultRowHeight="15" x14ac:dyDescent="0.25"/>
  <cols>
    <col min="2" max="2" width="38.85546875" style="19" customWidth="1"/>
    <col min="3" max="3" width="12.5703125" style="1" customWidth="1"/>
    <col min="4" max="4" width="18" style="1" customWidth="1"/>
    <col min="5" max="5" width="14.5703125" style="1" customWidth="1"/>
    <col min="6" max="6" width="18.85546875" style="2" customWidth="1"/>
    <col min="9" max="9" width="32" customWidth="1"/>
  </cols>
  <sheetData>
    <row r="1" spans="2:6" ht="18.75" x14ac:dyDescent="0.25">
      <c r="B1" s="20"/>
      <c r="C1" s="20"/>
      <c r="D1" s="20"/>
    </row>
    <row r="2" spans="2:6" ht="18.75" x14ac:dyDescent="0.25">
      <c r="B2" s="21"/>
      <c r="C2" s="22"/>
      <c r="D2" s="22"/>
      <c r="E2" s="22"/>
      <c r="F2" s="22"/>
    </row>
    <row r="3" spans="2:6" x14ac:dyDescent="0.25">
      <c r="B3" s="3"/>
      <c r="C3" s="4"/>
      <c r="D3" s="4"/>
      <c r="E3" s="4"/>
      <c r="F3" s="3"/>
    </row>
    <row r="4" spans="2:6" ht="15.75" x14ac:dyDescent="0.25">
      <c r="B4" s="5" t="s">
        <v>60</v>
      </c>
      <c r="C4" s="6"/>
      <c r="D4" s="6"/>
      <c r="E4" s="6"/>
      <c r="F4" s="7"/>
    </row>
    <row r="5" spans="2:6" x14ac:dyDescent="0.25">
      <c r="B5" s="29" t="s">
        <v>0</v>
      </c>
      <c r="C5" s="31" t="s">
        <v>1</v>
      </c>
      <c r="D5" s="31" t="s">
        <v>2</v>
      </c>
      <c r="E5" s="31" t="s">
        <v>3</v>
      </c>
      <c r="F5" s="29" t="s">
        <v>4</v>
      </c>
    </row>
    <row r="6" spans="2:6" ht="15" customHeight="1" x14ac:dyDescent="0.25">
      <c r="B6" s="30"/>
      <c r="C6" s="32"/>
      <c r="D6" s="32"/>
      <c r="E6" s="32"/>
      <c r="F6" s="30"/>
    </row>
    <row r="7" spans="2:6" x14ac:dyDescent="0.25">
      <c r="B7" s="9" t="s">
        <v>5</v>
      </c>
      <c r="C7" s="24">
        <f>SUM(C24:C25)</f>
        <v>762.57999999999993</v>
      </c>
      <c r="D7" s="11"/>
      <c r="E7" s="8">
        <f>SUM(E24:E25)</f>
        <v>912.54599999999982</v>
      </c>
      <c r="F7" s="10"/>
    </row>
    <row r="8" spans="2:6" x14ac:dyDescent="0.25">
      <c r="B8" s="9" t="s">
        <v>6</v>
      </c>
      <c r="C8" s="24">
        <f>SUM(C36:C37)</f>
        <v>687.47</v>
      </c>
      <c r="D8" s="11"/>
      <c r="E8" s="8">
        <f>SUM(E36:E37)</f>
        <v>822.63900000000001</v>
      </c>
      <c r="F8" s="10"/>
    </row>
    <row r="9" spans="2:6" x14ac:dyDescent="0.25">
      <c r="B9" s="9" t="s">
        <v>7</v>
      </c>
      <c r="C9" s="24">
        <f>SUM(C50:C51)</f>
        <v>729.74</v>
      </c>
      <c r="D9" s="11"/>
      <c r="E9" s="8">
        <f>SUM(E50:E51)</f>
        <v>870.76800000000003</v>
      </c>
      <c r="F9" s="10"/>
    </row>
    <row r="10" spans="2:6" x14ac:dyDescent="0.25">
      <c r="B10" s="9" t="s">
        <v>8</v>
      </c>
      <c r="C10" s="24">
        <f>SUM(C66:C67)</f>
        <v>819.69</v>
      </c>
      <c r="D10" s="11"/>
      <c r="E10" s="8">
        <f>SUM(E66:E67)</f>
        <v>978.88799999999992</v>
      </c>
      <c r="F10" s="10"/>
    </row>
    <row r="11" spans="2:6" x14ac:dyDescent="0.25">
      <c r="B11" s="9" t="s">
        <v>9</v>
      </c>
      <c r="C11" s="24">
        <f>C76+C81+C86+C87</f>
        <v>194.08999999999997</v>
      </c>
      <c r="D11" s="11"/>
      <c r="E11" s="8">
        <f>E76+E81+E86+E87</f>
        <v>224.96550000000002</v>
      </c>
      <c r="F11" s="10"/>
    </row>
    <row r="12" spans="2:6" ht="18.75" x14ac:dyDescent="0.25">
      <c r="B12" s="9" t="s">
        <v>10</v>
      </c>
      <c r="C12" s="24">
        <f>SUM(C7:C11)</f>
        <v>3193.57</v>
      </c>
      <c r="D12" s="11"/>
      <c r="E12" s="12">
        <f>SUM(E7:E11)</f>
        <v>3809.8064999999997</v>
      </c>
      <c r="F12" s="10"/>
    </row>
    <row r="13" spans="2:6" ht="38.25" customHeight="1" x14ac:dyDescent="0.25">
      <c r="B13" s="3"/>
      <c r="C13" s="13"/>
      <c r="D13" s="13"/>
      <c r="E13" s="13"/>
      <c r="F13" s="14"/>
    </row>
    <row r="14" spans="2:6" ht="15.75" x14ac:dyDescent="0.25">
      <c r="B14" s="15" t="s">
        <v>61</v>
      </c>
      <c r="C14" s="16"/>
      <c r="D14" s="16"/>
      <c r="E14" s="16"/>
      <c r="F14" s="17"/>
    </row>
    <row r="15" spans="2:6" ht="15" customHeight="1" x14ac:dyDescent="0.25">
      <c r="B15" s="29" t="s">
        <v>0</v>
      </c>
      <c r="C15" s="31" t="s">
        <v>1</v>
      </c>
      <c r="D15" s="31" t="s">
        <v>2</v>
      </c>
      <c r="E15" s="31" t="s">
        <v>3</v>
      </c>
      <c r="F15" s="29" t="s">
        <v>4</v>
      </c>
    </row>
    <row r="16" spans="2:6" x14ac:dyDescent="0.25">
      <c r="B16" s="30"/>
      <c r="C16" s="32"/>
      <c r="D16" s="32"/>
      <c r="E16" s="32"/>
      <c r="F16" s="30"/>
    </row>
    <row r="17" spans="2:6" x14ac:dyDescent="0.25">
      <c r="B17" s="23" t="s">
        <v>11</v>
      </c>
      <c r="C17" s="24">
        <v>377.58</v>
      </c>
      <c r="D17" s="24">
        <v>20</v>
      </c>
      <c r="E17" s="24">
        <f t="shared" ref="E17:E23" si="0">C17*(1+D17/100)</f>
        <v>453.09599999999995</v>
      </c>
      <c r="F17" s="25" t="s">
        <v>12</v>
      </c>
    </row>
    <row r="18" spans="2:6" x14ac:dyDescent="0.25">
      <c r="B18" s="23" t="s">
        <v>16</v>
      </c>
      <c r="C18" s="24">
        <v>8</v>
      </c>
      <c r="D18" s="24">
        <v>20</v>
      </c>
      <c r="E18" s="24">
        <f t="shared" si="0"/>
        <v>9.6</v>
      </c>
      <c r="F18" s="25"/>
    </row>
    <row r="19" spans="2:6" x14ac:dyDescent="0.25">
      <c r="B19" s="23" t="s">
        <v>17</v>
      </c>
      <c r="C19" s="24">
        <v>4.3</v>
      </c>
      <c r="D19" s="24">
        <v>5</v>
      </c>
      <c r="E19" s="24">
        <f t="shared" si="0"/>
        <v>4.5149999999999997</v>
      </c>
      <c r="F19" s="25"/>
    </row>
    <row r="20" spans="2:6" x14ac:dyDescent="0.25">
      <c r="B20" s="23" t="s">
        <v>18</v>
      </c>
      <c r="C20" s="24">
        <v>4.3</v>
      </c>
      <c r="D20" s="24">
        <v>5</v>
      </c>
      <c r="E20" s="24">
        <f t="shared" si="0"/>
        <v>4.5149999999999997</v>
      </c>
      <c r="F20" s="25"/>
    </row>
    <row r="21" spans="2:6" x14ac:dyDescent="0.25">
      <c r="B21" s="23" t="s">
        <v>19</v>
      </c>
      <c r="C21" s="24">
        <v>2.4</v>
      </c>
      <c r="D21" s="24">
        <v>5</v>
      </c>
      <c r="E21" s="24">
        <f t="shared" si="0"/>
        <v>2.52</v>
      </c>
      <c r="F21" s="25"/>
    </row>
    <row r="22" spans="2:6" x14ac:dyDescent="0.25">
      <c r="B22" s="23" t="s">
        <v>20</v>
      </c>
      <c r="C22" s="24">
        <v>6</v>
      </c>
      <c r="D22" s="24">
        <v>5</v>
      </c>
      <c r="E22" s="24">
        <f t="shared" si="0"/>
        <v>6.3000000000000007</v>
      </c>
      <c r="F22" s="25"/>
    </row>
    <row r="23" spans="2:6" x14ac:dyDescent="0.25">
      <c r="B23" s="23" t="s">
        <v>21</v>
      </c>
      <c r="C23" s="24">
        <v>27</v>
      </c>
      <c r="D23" s="24">
        <v>20</v>
      </c>
      <c r="E23" s="24">
        <f t="shared" si="0"/>
        <v>32.4</v>
      </c>
      <c r="F23" s="25" t="s">
        <v>15</v>
      </c>
    </row>
    <row r="24" spans="2:6" x14ac:dyDescent="0.25">
      <c r="B24" s="26" t="s">
        <v>66</v>
      </c>
      <c r="C24" s="27">
        <f>SUM(C17:C23)</f>
        <v>429.58</v>
      </c>
      <c r="D24" s="27"/>
      <c r="E24" s="27">
        <f>SUM(E17:E23)</f>
        <v>512.94599999999991</v>
      </c>
      <c r="F24" s="28"/>
    </row>
    <row r="25" spans="2:6" x14ac:dyDescent="0.25">
      <c r="B25" s="26" t="s">
        <v>13</v>
      </c>
      <c r="C25" s="27">
        <v>333</v>
      </c>
      <c r="D25" s="27">
        <v>20</v>
      </c>
      <c r="E25" s="27">
        <f>C25*(1+D25/100)</f>
        <v>399.59999999999997</v>
      </c>
      <c r="F25" s="28" t="s">
        <v>14</v>
      </c>
    </row>
    <row r="26" spans="2:6" x14ac:dyDescent="0.25">
      <c r="B26" s="3"/>
      <c r="C26" s="13"/>
      <c r="D26" s="13"/>
      <c r="E26" s="13"/>
      <c r="F26" s="14"/>
    </row>
    <row r="27" spans="2:6" ht="15.75" x14ac:dyDescent="0.25">
      <c r="B27" s="15" t="s">
        <v>62</v>
      </c>
      <c r="C27" s="16"/>
      <c r="D27" s="16"/>
      <c r="E27" s="16"/>
      <c r="F27" s="17"/>
    </row>
    <row r="28" spans="2:6" ht="15" customHeight="1" x14ac:dyDescent="0.25">
      <c r="B28" s="29" t="s">
        <v>0</v>
      </c>
      <c r="C28" s="31" t="s">
        <v>1</v>
      </c>
      <c r="D28" s="31" t="s">
        <v>2</v>
      </c>
      <c r="E28" s="31" t="s">
        <v>3</v>
      </c>
      <c r="F28" s="29" t="s">
        <v>4</v>
      </c>
    </row>
    <row r="29" spans="2:6" x14ac:dyDescent="0.25">
      <c r="B29" s="30"/>
      <c r="C29" s="32"/>
      <c r="D29" s="32"/>
      <c r="E29" s="32"/>
      <c r="F29" s="30"/>
    </row>
    <row r="30" spans="2:6" x14ac:dyDescent="0.25">
      <c r="B30" s="23" t="s">
        <v>22</v>
      </c>
      <c r="C30" s="24">
        <v>258.67</v>
      </c>
      <c r="D30" s="24">
        <v>20</v>
      </c>
      <c r="E30" s="24">
        <f t="shared" ref="E30" si="1">C30*(1+D30/100)</f>
        <v>310.404</v>
      </c>
      <c r="F30" s="25" t="s">
        <v>12</v>
      </c>
    </row>
    <row r="31" spans="2:6" x14ac:dyDescent="0.25">
      <c r="B31" s="23" t="s">
        <v>16</v>
      </c>
      <c r="C31" s="24">
        <v>8</v>
      </c>
      <c r="D31" s="24">
        <v>20</v>
      </c>
      <c r="E31" s="24">
        <f>C31*(1+D31/100)</f>
        <v>9.6</v>
      </c>
      <c r="F31" s="25"/>
    </row>
    <row r="32" spans="2:6" x14ac:dyDescent="0.25">
      <c r="B32" s="23" t="s">
        <v>24</v>
      </c>
      <c r="C32" s="24">
        <v>5.0999999999999996</v>
      </c>
      <c r="D32" s="24">
        <v>5</v>
      </c>
      <c r="E32" s="24">
        <f>C32*(1+D32/100)</f>
        <v>5.3549999999999995</v>
      </c>
      <c r="F32" s="25"/>
    </row>
    <row r="33" spans="2:6" x14ac:dyDescent="0.25">
      <c r="B33" s="23" t="s">
        <v>25</v>
      </c>
      <c r="C33" s="24">
        <v>2.4</v>
      </c>
      <c r="D33" s="24">
        <v>5</v>
      </c>
      <c r="E33" s="24">
        <f>C33*(1+D33/100)</f>
        <v>2.52</v>
      </c>
      <c r="F33" s="25"/>
    </row>
    <row r="34" spans="2:6" x14ac:dyDescent="0.25">
      <c r="B34" s="23" t="s">
        <v>26</v>
      </c>
      <c r="C34" s="24">
        <v>8</v>
      </c>
      <c r="D34" s="24">
        <v>5</v>
      </c>
      <c r="E34" s="24">
        <f>C34*(1+D34/100)</f>
        <v>8.4</v>
      </c>
      <c r="F34" s="25"/>
    </row>
    <row r="35" spans="2:6" x14ac:dyDescent="0.25">
      <c r="B35" s="23" t="s">
        <v>27</v>
      </c>
      <c r="C35" s="24">
        <v>38</v>
      </c>
      <c r="D35" s="24">
        <v>20</v>
      </c>
      <c r="E35" s="24">
        <f>C35*(1+D35/100)</f>
        <v>45.6</v>
      </c>
      <c r="F35" s="25" t="s">
        <v>28</v>
      </c>
    </row>
    <row r="36" spans="2:6" x14ac:dyDescent="0.25">
      <c r="B36" s="26" t="s">
        <v>67</v>
      </c>
      <c r="C36" s="27">
        <f>SUM(C30:C35)</f>
        <v>320.17</v>
      </c>
      <c r="D36" s="27"/>
      <c r="E36" s="27">
        <f>SUM(E30:E35)</f>
        <v>381.87900000000002</v>
      </c>
      <c r="F36" s="28"/>
    </row>
    <row r="37" spans="2:6" x14ac:dyDescent="0.25">
      <c r="B37" s="9" t="s">
        <v>23</v>
      </c>
      <c r="C37" s="18">
        <v>367.3</v>
      </c>
      <c r="D37" s="18">
        <v>20</v>
      </c>
      <c r="E37" s="18">
        <f>C37*(1+D37/100)</f>
        <v>440.76</v>
      </c>
      <c r="F37" s="10" t="s">
        <v>14</v>
      </c>
    </row>
    <row r="38" spans="2:6" x14ac:dyDescent="0.25">
      <c r="B38" s="3"/>
      <c r="C38" s="13"/>
      <c r="D38" s="13"/>
      <c r="E38" s="13"/>
      <c r="F38" s="14"/>
    </row>
    <row r="39" spans="2:6" ht="15.75" x14ac:dyDescent="0.25">
      <c r="B39" s="15" t="s">
        <v>63</v>
      </c>
      <c r="C39" s="16"/>
      <c r="D39" s="16"/>
      <c r="E39" s="16"/>
      <c r="F39" s="17"/>
    </row>
    <row r="40" spans="2:6" ht="15" customHeight="1" x14ac:dyDescent="0.25">
      <c r="B40" s="29" t="s">
        <v>0</v>
      </c>
      <c r="C40" s="31" t="s">
        <v>1</v>
      </c>
      <c r="D40" s="31" t="s">
        <v>2</v>
      </c>
      <c r="E40" s="31" t="s">
        <v>3</v>
      </c>
      <c r="F40" s="29" t="s">
        <v>4</v>
      </c>
    </row>
    <row r="41" spans="2:6" x14ac:dyDescent="0.25">
      <c r="B41" s="30"/>
      <c r="C41" s="32"/>
      <c r="D41" s="32"/>
      <c r="E41" s="32"/>
      <c r="F41" s="30"/>
    </row>
    <row r="42" spans="2:6" x14ac:dyDescent="0.25">
      <c r="B42" s="23" t="s">
        <v>29</v>
      </c>
      <c r="C42" s="24">
        <v>271.2</v>
      </c>
      <c r="D42" s="24">
        <v>20</v>
      </c>
      <c r="E42" s="24">
        <f t="shared" ref="E42" si="2">C42*(1+D42/100)</f>
        <v>325.44</v>
      </c>
      <c r="F42" s="25" t="s">
        <v>12</v>
      </c>
    </row>
    <row r="43" spans="2:6" x14ac:dyDescent="0.25">
      <c r="B43" s="23" t="s">
        <v>16</v>
      </c>
      <c r="C43" s="24">
        <v>8</v>
      </c>
      <c r="D43" s="24">
        <v>5</v>
      </c>
      <c r="E43" s="24">
        <f t="shared" ref="E43:E49" si="3">C43*(1+D43/100)</f>
        <v>8.4</v>
      </c>
      <c r="F43" s="25"/>
    </row>
    <row r="44" spans="2:6" x14ac:dyDescent="0.25">
      <c r="B44" s="23" t="s">
        <v>31</v>
      </c>
      <c r="C44" s="24">
        <v>4</v>
      </c>
      <c r="D44" s="24">
        <v>5</v>
      </c>
      <c r="E44" s="24">
        <f t="shared" si="3"/>
        <v>4.2</v>
      </c>
      <c r="F44" s="25"/>
    </row>
    <row r="45" spans="2:6" x14ac:dyDescent="0.25">
      <c r="B45" s="23" t="s">
        <v>32</v>
      </c>
      <c r="C45" s="24">
        <v>6</v>
      </c>
      <c r="D45" s="24">
        <v>5</v>
      </c>
      <c r="E45" s="24">
        <f t="shared" si="3"/>
        <v>6.3000000000000007</v>
      </c>
      <c r="F45" s="25"/>
    </row>
    <row r="46" spans="2:6" x14ac:dyDescent="0.25">
      <c r="B46" s="23" t="s">
        <v>33</v>
      </c>
      <c r="C46" s="24">
        <v>2.4</v>
      </c>
      <c r="D46" s="24">
        <v>5</v>
      </c>
      <c r="E46" s="24">
        <f t="shared" si="3"/>
        <v>2.52</v>
      </c>
      <c r="F46" s="25"/>
    </row>
    <row r="47" spans="2:6" x14ac:dyDescent="0.25">
      <c r="B47" s="23" t="s">
        <v>34</v>
      </c>
      <c r="C47" s="24">
        <v>6.4</v>
      </c>
      <c r="D47" s="24">
        <v>5</v>
      </c>
      <c r="E47" s="24">
        <f t="shared" si="3"/>
        <v>6.7200000000000006</v>
      </c>
      <c r="F47" s="25"/>
    </row>
    <row r="48" spans="2:6" x14ac:dyDescent="0.25">
      <c r="B48" s="23" t="s">
        <v>35</v>
      </c>
      <c r="C48" s="24">
        <v>6</v>
      </c>
      <c r="D48" s="24">
        <v>5</v>
      </c>
      <c r="E48" s="24">
        <f t="shared" si="3"/>
        <v>6.3000000000000007</v>
      </c>
      <c r="F48" s="25"/>
    </row>
    <row r="49" spans="2:6" x14ac:dyDescent="0.25">
      <c r="B49" s="23" t="s">
        <v>36</v>
      </c>
      <c r="C49" s="24">
        <v>39</v>
      </c>
      <c r="D49" s="24">
        <v>20</v>
      </c>
      <c r="E49" s="24">
        <f t="shared" si="3"/>
        <v>46.8</v>
      </c>
      <c r="F49" s="25" t="s">
        <v>28</v>
      </c>
    </row>
    <row r="50" spans="2:6" x14ac:dyDescent="0.25">
      <c r="B50" s="26" t="s">
        <v>68</v>
      </c>
      <c r="C50" s="27">
        <f>SUM(C42:C49)</f>
        <v>342.99999999999994</v>
      </c>
      <c r="D50" s="27"/>
      <c r="E50" s="27">
        <f>SUM(E42:E49)</f>
        <v>406.68</v>
      </c>
      <c r="F50" s="28"/>
    </row>
    <row r="51" spans="2:6" x14ac:dyDescent="0.25">
      <c r="B51" s="9" t="s">
        <v>30</v>
      </c>
      <c r="C51" s="18">
        <v>386.74</v>
      </c>
      <c r="D51" s="18">
        <v>20</v>
      </c>
      <c r="E51" s="18">
        <f>C51*(1+D51/100)</f>
        <v>464.08799999999997</v>
      </c>
      <c r="F51" s="10" t="s">
        <v>14</v>
      </c>
    </row>
    <row r="52" spans="2:6" x14ac:dyDescent="0.25">
      <c r="B52" s="3"/>
      <c r="C52" s="13"/>
      <c r="D52" s="13"/>
      <c r="E52" s="13"/>
      <c r="F52" s="14"/>
    </row>
    <row r="53" spans="2:6" ht="15.75" x14ac:dyDescent="0.25">
      <c r="B53" s="15" t="s">
        <v>64</v>
      </c>
      <c r="C53" s="16"/>
      <c r="D53" s="16"/>
      <c r="E53" s="16"/>
      <c r="F53" s="17"/>
    </row>
    <row r="54" spans="2:6" ht="15" customHeight="1" x14ac:dyDescent="0.25">
      <c r="B54" s="29" t="s">
        <v>0</v>
      </c>
      <c r="C54" s="31" t="s">
        <v>1</v>
      </c>
      <c r="D54" s="31" t="s">
        <v>2</v>
      </c>
      <c r="E54" s="31" t="s">
        <v>3</v>
      </c>
      <c r="F54" s="29" t="s">
        <v>4</v>
      </c>
    </row>
    <row r="55" spans="2:6" x14ac:dyDescent="0.25">
      <c r="B55" s="30"/>
      <c r="C55" s="32"/>
      <c r="D55" s="32"/>
      <c r="E55" s="32"/>
      <c r="F55" s="30"/>
    </row>
    <row r="56" spans="2:6" x14ac:dyDescent="0.25">
      <c r="B56" s="23" t="s">
        <v>37</v>
      </c>
      <c r="C56" s="24">
        <v>264.27</v>
      </c>
      <c r="D56" s="24">
        <v>20</v>
      </c>
      <c r="E56" s="24">
        <f t="shared" ref="E56" si="4">C56*(1+D56/100)</f>
        <v>317.12399999999997</v>
      </c>
      <c r="F56" s="25" t="s">
        <v>12</v>
      </c>
    </row>
    <row r="57" spans="2:6" x14ac:dyDescent="0.25">
      <c r="B57" s="23" t="s">
        <v>39</v>
      </c>
      <c r="C57" s="24">
        <v>98.62</v>
      </c>
      <c r="D57" s="24">
        <v>20</v>
      </c>
      <c r="E57" s="24">
        <f t="shared" ref="E57:E65" si="5">C57*(1+D57/100)</f>
        <v>118.34399999999999</v>
      </c>
      <c r="F57" s="25" t="s">
        <v>12</v>
      </c>
    </row>
    <row r="58" spans="2:6" x14ac:dyDescent="0.25">
      <c r="B58" s="23" t="s">
        <v>16</v>
      </c>
      <c r="C58" s="24">
        <v>8</v>
      </c>
      <c r="D58" s="24">
        <v>5</v>
      </c>
      <c r="E58" s="24">
        <f t="shared" si="5"/>
        <v>8.4</v>
      </c>
      <c r="F58" s="25"/>
    </row>
    <row r="59" spans="2:6" x14ac:dyDescent="0.25">
      <c r="B59" s="23" t="s">
        <v>40</v>
      </c>
      <c r="C59" s="24">
        <v>2.5</v>
      </c>
      <c r="D59" s="24">
        <v>5</v>
      </c>
      <c r="E59" s="24">
        <f t="shared" si="5"/>
        <v>2.625</v>
      </c>
      <c r="F59" s="25"/>
    </row>
    <row r="60" spans="2:6" x14ac:dyDescent="0.25">
      <c r="B60" s="23" t="s">
        <v>41</v>
      </c>
      <c r="C60" s="24">
        <v>2.5</v>
      </c>
      <c r="D60" s="24">
        <v>5</v>
      </c>
      <c r="E60" s="24">
        <f t="shared" si="5"/>
        <v>2.625</v>
      </c>
      <c r="F60" s="25"/>
    </row>
    <row r="61" spans="2:6" x14ac:dyDescent="0.25">
      <c r="B61" s="23" t="s">
        <v>42</v>
      </c>
      <c r="C61" s="24">
        <v>3.2</v>
      </c>
      <c r="D61" s="24">
        <v>5</v>
      </c>
      <c r="E61" s="24">
        <f t="shared" si="5"/>
        <v>3.3600000000000003</v>
      </c>
      <c r="F61" s="25"/>
    </row>
    <row r="62" spans="2:6" x14ac:dyDescent="0.25">
      <c r="B62" s="23" t="s">
        <v>43</v>
      </c>
      <c r="C62" s="24">
        <v>6</v>
      </c>
      <c r="D62" s="24">
        <v>5</v>
      </c>
      <c r="E62" s="24">
        <f t="shared" si="5"/>
        <v>6.3000000000000007</v>
      </c>
      <c r="F62" s="25"/>
    </row>
    <row r="63" spans="2:6" x14ac:dyDescent="0.25">
      <c r="B63" s="23" t="s">
        <v>44</v>
      </c>
      <c r="C63" s="24">
        <v>5.8</v>
      </c>
      <c r="D63" s="24">
        <v>5</v>
      </c>
      <c r="E63" s="24">
        <f t="shared" si="5"/>
        <v>6.09</v>
      </c>
      <c r="F63" s="25"/>
    </row>
    <row r="64" spans="2:6" x14ac:dyDescent="0.25">
      <c r="B64" s="23" t="s">
        <v>45</v>
      </c>
      <c r="C64" s="24">
        <v>3.6</v>
      </c>
      <c r="D64" s="24">
        <v>5</v>
      </c>
      <c r="E64" s="24">
        <f t="shared" si="5"/>
        <v>3.7800000000000002</v>
      </c>
      <c r="F64" s="25"/>
    </row>
    <row r="65" spans="2:6" x14ac:dyDescent="0.25">
      <c r="B65" s="23" t="s">
        <v>46</v>
      </c>
      <c r="C65" s="24">
        <v>58</v>
      </c>
      <c r="D65" s="24">
        <v>20</v>
      </c>
      <c r="E65" s="24">
        <f t="shared" si="5"/>
        <v>69.599999999999994</v>
      </c>
      <c r="F65" s="25" t="s">
        <v>28</v>
      </c>
    </row>
    <row r="66" spans="2:6" x14ac:dyDescent="0.25">
      <c r="B66" s="26" t="s">
        <v>69</v>
      </c>
      <c r="C66" s="27">
        <f>SUM(C56:C65)</f>
        <v>452.49</v>
      </c>
      <c r="D66" s="27"/>
      <c r="E66" s="27">
        <f>SUM(E56:E65)</f>
        <v>538.24799999999993</v>
      </c>
      <c r="F66" s="28"/>
    </row>
    <row r="67" spans="2:6" x14ac:dyDescent="0.25">
      <c r="B67" s="9" t="s">
        <v>38</v>
      </c>
      <c r="C67" s="18">
        <v>367.2</v>
      </c>
      <c r="D67" s="18">
        <v>20</v>
      </c>
      <c r="E67" s="18">
        <f>C67*(1+D67/100)</f>
        <v>440.64</v>
      </c>
      <c r="F67" s="10" t="s">
        <v>14</v>
      </c>
    </row>
    <row r="68" spans="2:6" x14ac:dyDescent="0.25">
      <c r="B68" s="3"/>
      <c r="C68" s="13"/>
      <c r="D68" s="13"/>
      <c r="E68" s="13"/>
      <c r="F68" s="14"/>
    </row>
    <row r="69" spans="2:6" ht="15.75" x14ac:dyDescent="0.25">
      <c r="B69" s="15" t="s">
        <v>65</v>
      </c>
      <c r="C69" s="16"/>
      <c r="D69" s="16"/>
      <c r="E69" s="16"/>
      <c r="F69" s="17"/>
    </row>
    <row r="70" spans="2:6" ht="15" customHeight="1" x14ac:dyDescent="0.25">
      <c r="B70" s="29" t="s">
        <v>0</v>
      </c>
      <c r="C70" s="31" t="s">
        <v>1</v>
      </c>
      <c r="D70" s="31" t="s">
        <v>2</v>
      </c>
      <c r="E70" s="31" t="s">
        <v>3</v>
      </c>
      <c r="F70" s="29" t="s">
        <v>4</v>
      </c>
    </row>
    <row r="71" spans="2:6" x14ac:dyDescent="0.25">
      <c r="B71" s="30"/>
      <c r="C71" s="32"/>
      <c r="D71" s="32"/>
      <c r="E71" s="32"/>
      <c r="F71" s="30"/>
    </row>
    <row r="72" spans="2:6" x14ac:dyDescent="0.25">
      <c r="B72" s="23" t="s">
        <v>47</v>
      </c>
      <c r="C72" s="24">
        <v>19.739999999999998</v>
      </c>
      <c r="D72" s="24">
        <v>20</v>
      </c>
      <c r="E72" s="24">
        <f t="shared" ref="E72:E87" si="6">C72*(1+D72/100)</f>
        <v>23.687999999999999</v>
      </c>
      <c r="F72" s="25" t="s">
        <v>12</v>
      </c>
    </row>
    <row r="73" spans="2:6" x14ac:dyDescent="0.25">
      <c r="B73" s="23" t="s">
        <v>48</v>
      </c>
      <c r="C73" s="24">
        <v>11</v>
      </c>
      <c r="D73" s="24">
        <v>20</v>
      </c>
      <c r="E73" s="24">
        <f t="shared" si="6"/>
        <v>13.2</v>
      </c>
      <c r="F73" s="25"/>
    </row>
    <row r="74" spans="2:6" x14ac:dyDescent="0.25">
      <c r="B74" s="23" t="s">
        <v>49</v>
      </c>
      <c r="C74" s="24">
        <v>15.65</v>
      </c>
      <c r="D74" s="24">
        <v>5</v>
      </c>
      <c r="E74" s="24">
        <f t="shared" si="6"/>
        <v>16.432500000000001</v>
      </c>
      <c r="F74" s="25"/>
    </row>
    <row r="75" spans="2:6" x14ac:dyDescent="0.25">
      <c r="B75" s="23" t="s">
        <v>50</v>
      </c>
      <c r="C75" s="24">
        <v>2</v>
      </c>
      <c r="D75" s="24">
        <v>5</v>
      </c>
      <c r="E75" s="24">
        <f t="shared" si="6"/>
        <v>2.1</v>
      </c>
      <c r="F75" s="25"/>
    </row>
    <row r="76" spans="2:6" x14ac:dyDescent="0.25">
      <c r="B76" s="26" t="s">
        <v>70</v>
      </c>
      <c r="C76" s="27">
        <f>SUM(C72:C75)</f>
        <v>48.39</v>
      </c>
      <c r="D76" s="27"/>
      <c r="E76" s="27">
        <f>SUM(E72:E75)</f>
        <v>55.420499999999997</v>
      </c>
      <c r="F76" s="28"/>
    </row>
    <row r="77" spans="2:6" x14ac:dyDescent="0.25">
      <c r="B77" s="23" t="s">
        <v>51</v>
      </c>
      <c r="C77" s="24">
        <v>17.399999999999999</v>
      </c>
      <c r="D77" s="24">
        <v>20</v>
      </c>
      <c r="E77" s="24">
        <f t="shared" si="6"/>
        <v>20.88</v>
      </c>
      <c r="F77" s="25"/>
    </row>
    <row r="78" spans="2:6" x14ac:dyDescent="0.25">
      <c r="B78" s="23" t="s">
        <v>52</v>
      </c>
      <c r="C78" s="24">
        <v>10</v>
      </c>
      <c r="D78" s="24">
        <v>20</v>
      </c>
      <c r="E78" s="24">
        <f t="shared" si="6"/>
        <v>12</v>
      </c>
      <c r="F78" s="25"/>
    </row>
    <row r="79" spans="2:6" x14ac:dyDescent="0.25">
      <c r="B79" s="23" t="s">
        <v>53</v>
      </c>
      <c r="C79" s="24">
        <v>14</v>
      </c>
      <c r="D79" s="24">
        <v>5</v>
      </c>
      <c r="E79" s="24">
        <f t="shared" si="6"/>
        <v>14.700000000000001</v>
      </c>
      <c r="F79" s="25"/>
    </row>
    <row r="80" spans="2:6" x14ac:dyDescent="0.25">
      <c r="B80" s="23" t="s">
        <v>54</v>
      </c>
      <c r="C80" s="24">
        <v>2</v>
      </c>
      <c r="D80" s="24">
        <v>5</v>
      </c>
      <c r="E80" s="24">
        <f t="shared" si="6"/>
        <v>2.1</v>
      </c>
      <c r="F80" s="25"/>
    </row>
    <row r="81" spans="2:6" x14ac:dyDescent="0.25">
      <c r="B81" s="26" t="s">
        <v>71</v>
      </c>
      <c r="C81" s="27">
        <f>SUM(C77:C80)</f>
        <v>43.4</v>
      </c>
      <c r="D81" s="27"/>
      <c r="E81" s="27">
        <f>SUM(E77:E80)</f>
        <v>49.68</v>
      </c>
      <c r="F81" s="28"/>
    </row>
    <row r="82" spans="2:6" x14ac:dyDescent="0.25">
      <c r="B82" s="23" t="s">
        <v>55</v>
      </c>
      <c r="C82" s="24">
        <v>30</v>
      </c>
      <c r="D82" s="24">
        <v>20</v>
      </c>
      <c r="E82" s="24">
        <f t="shared" si="6"/>
        <v>36</v>
      </c>
      <c r="F82" s="25"/>
    </row>
    <row r="83" spans="2:6" x14ac:dyDescent="0.25">
      <c r="B83" s="23" t="s">
        <v>56</v>
      </c>
      <c r="C83" s="24">
        <v>19</v>
      </c>
      <c r="D83" s="24">
        <v>20</v>
      </c>
      <c r="E83" s="24">
        <f t="shared" si="6"/>
        <v>22.8</v>
      </c>
      <c r="F83" s="25"/>
    </row>
    <row r="84" spans="2:6" x14ac:dyDescent="0.25">
      <c r="B84" s="23" t="s">
        <v>57</v>
      </c>
      <c r="C84" s="24">
        <v>16.3</v>
      </c>
      <c r="D84" s="24">
        <v>5</v>
      </c>
      <c r="E84" s="24">
        <f t="shared" si="6"/>
        <v>17.115000000000002</v>
      </c>
      <c r="F84" s="25"/>
    </row>
    <row r="85" spans="2:6" x14ac:dyDescent="0.25">
      <c r="B85" s="23" t="s">
        <v>58</v>
      </c>
      <c r="C85" s="24">
        <v>3</v>
      </c>
      <c r="D85" s="24">
        <v>5</v>
      </c>
      <c r="E85" s="24">
        <f t="shared" si="6"/>
        <v>3.1500000000000004</v>
      </c>
      <c r="F85" s="25"/>
    </row>
    <row r="86" spans="2:6" x14ac:dyDescent="0.25">
      <c r="B86" s="26" t="s">
        <v>72</v>
      </c>
      <c r="C86" s="27">
        <f>SUM(C82:C85)</f>
        <v>68.3</v>
      </c>
      <c r="D86" s="27"/>
      <c r="E86" s="27">
        <f>SUM(E82:E85)</f>
        <v>79.064999999999998</v>
      </c>
      <c r="F86" s="28"/>
    </row>
    <row r="87" spans="2:6" x14ac:dyDescent="0.25">
      <c r="B87" s="9" t="s">
        <v>59</v>
      </c>
      <c r="C87" s="18">
        <v>34</v>
      </c>
      <c r="D87" s="18">
        <v>20</v>
      </c>
      <c r="E87" s="18">
        <f t="shared" si="6"/>
        <v>40.799999999999997</v>
      </c>
      <c r="F87" s="10"/>
    </row>
  </sheetData>
  <mergeCells count="30">
    <mergeCell ref="B5:B6"/>
    <mergeCell ref="C5:C6"/>
    <mergeCell ref="D5:D6"/>
    <mergeCell ref="E5:E6"/>
    <mergeCell ref="F5:F6"/>
    <mergeCell ref="B15:B16"/>
    <mergeCell ref="C15:C16"/>
    <mergeCell ref="D15:D16"/>
    <mergeCell ref="E15:E16"/>
    <mergeCell ref="F15:F16"/>
    <mergeCell ref="B28:B29"/>
    <mergeCell ref="C28:C29"/>
    <mergeCell ref="D28:D29"/>
    <mergeCell ref="E28:E29"/>
    <mergeCell ref="F28:F29"/>
    <mergeCell ref="B40:B41"/>
    <mergeCell ref="C40:C41"/>
    <mergeCell ref="D40:D41"/>
    <mergeCell ref="E40:E41"/>
    <mergeCell ref="F40:F41"/>
    <mergeCell ref="B54:B55"/>
    <mergeCell ref="C54:C55"/>
    <mergeCell ref="D54:D55"/>
    <mergeCell ref="E54:E55"/>
    <mergeCell ref="F54:F55"/>
    <mergeCell ref="B70:B71"/>
    <mergeCell ref="C70:C71"/>
    <mergeCell ref="D70:D71"/>
    <mergeCell ref="E70:E71"/>
    <mergeCell ref="F70:F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Mass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Higinio Rubio</dc:creator>
  <cp:lastModifiedBy>HIGINIO RUBIO ARNALDO</cp:lastModifiedBy>
  <dcterms:created xsi:type="dcterms:W3CDTF">2015-06-05T18:17:20Z</dcterms:created>
  <dcterms:modified xsi:type="dcterms:W3CDTF">2026-03-10T10:39:39Z</dcterms:modified>
</cp:coreProperties>
</file>